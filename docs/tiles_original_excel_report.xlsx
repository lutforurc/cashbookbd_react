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ll_Database\cashbookbd_react\docs\"/>
    </mc:Choice>
  </mc:AlternateContent>
  <bookViews>
    <workbookView xWindow="0" yWindow="0" windowWidth="17925" windowHeight="9735"/>
  </bookViews>
  <sheets>
    <sheet name="Oct-26" sheetId="36" r:id="rId1"/>
  </sheets>
  <calcPr calcId="152511"/>
</workbook>
</file>

<file path=xl/calcChain.xml><?xml version="1.0" encoding="utf-8"?>
<calcChain xmlns="http://schemas.openxmlformats.org/spreadsheetml/2006/main">
  <c r="H5" i="36" l="1"/>
  <c r="T14" i="36" l="1"/>
  <c r="T9" i="36"/>
  <c r="T15" i="36"/>
  <c r="T13" i="36"/>
  <c r="T12" i="36"/>
  <c r="T11" i="36"/>
  <c r="T10" i="36"/>
  <c r="D16" i="36"/>
  <c r="K15" i="36"/>
  <c r="R15" i="36" s="1"/>
  <c r="S15" i="36" s="1"/>
  <c r="H15" i="36"/>
  <c r="F15" i="36"/>
  <c r="K14" i="36"/>
  <c r="R14" i="36" s="1"/>
  <c r="S14" i="36" s="1"/>
  <c r="H14" i="36"/>
  <c r="F14" i="36"/>
  <c r="L14" i="36" s="1"/>
  <c r="K13" i="36"/>
  <c r="R13" i="36" s="1"/>
  <c r="S13" i="36" s="1"/>
  <c r="H13" i="36"/>
  <c r="F13" i="36"/>
  <c r="K12" i="36"/>
  <c r="R12" i="36" s="1"/>
  <c r="S12" i="36" s="1"/>
  <c r="H12" i="36"/>
  <c r="F12" i="36"/>
  <c r="K11" i="36"/>
  <c r="R11" i="36" s="1"/>
  <c r="S11" i="36" s="1"/>
  <c r="H11" i="36"/>
  <c r="F11" i="36"/>
  <c r="L11" i="36" s="1"/>
  <c r="K10" i="36"/>
  <c r="R10" i="36" s="1"/>
  <c r="S10" i="36" s="1"/>
  <c r="H10" i="36"/>
  <c r="F10" i="36"/>
  <c r="K9" i="36"/>
  <c r="R9" i="36" s="1"/>
  <c r="S9" i="36" s="1"/>
  <c r="H9" i="36"/>
  <c r="F9" i="36"/>
  <c r="L9" i="36" s="1"/>
  <c r="T8" i="36"/>
  <c r="K8" i="36"/>
  <c r="R8" i="36" s="1"/>
  <c r="S8" i="36" s="1"/>
  <c r="H8" i="36"/>
  <c r="F8" i="36"/>
  <c r="L8" i="36" s="1"/>
  <c r="T7" i="36"/>
  <c r="K7" i="36"/>
  <c r="R7" i="36" s="1"/>
  <c r="S7" i="36" s="1"/>
  <c r="U7" i="36" s="1"/>
  <c r="H7" i="36"/>
  <c r="F7" i="36"/>
  <c r="J7" i="36" s="1"/>
  <c r="T6" i="36"/>
  <c r="K6" i="36"/>
  <c r="R6" i="36" s="1"/>
  <c r="S6" i="36" s="1"/>
  <c r="H6" i="36"/>
  <c r="F6" i="36"/>
  <c r="Q6" i="36" s="1"/>
  <c r="T5" i="36"/>
  <c r="K5" i="36"/>
  <c r="R5" i="36" s="1"/>
  <c r="S5" i="36" s="1"/>
  <c r="F5" i="36"/>
  <c r="Q5" i="36" s="1"/>
  <c r="J6" i="36" l="1"/>
  <c r="L10" i="36"/>
  <c r="L5" i="36"/>
  <c r="U15" i="36"/>
  <c r="L13" i="36"/>
  <c r="L12" i="36"/>
  <c r="U8" i="36"/>
  <c r="P5" i="36"/>
  <c r="U14" i="36"/>
  <c r="P8" i="36"/>
  <c r="J5" i="36"/>
  <c r="T16" i="36"/>
  <c r="U6" i="36"/>
  <c r="L7" i="36"/>
  <c r="P7" i="36"/>
  <c r="Q8" i="36"/>
  <c r="J9" i="36"/>
  <c r="L15" i="36"/>
  <c r="U5" i="36"/>
  <c r="L6" i="36"/>
  <c r="P6" i="36"/>
  <c r="Q7" i="36"/>
  <c r="J8" i="36"/>
  <c r="U9" i="36"/>
  <c r="U10" i="36"/>
  <c r="U11" i="36"/>
  <c r="U12" i="36"/>
  <c r="U13" i="36"/>
  <c r="N5" i="36"/>
  <c r="N6" i="36"/>
  <c r="N7" i="36"/>
  <c r="N8" i="36"/>
  <c r="N9" i="36"/>
  <c r="N10" i="36"/>
  <c r="N11" i="36"/>
  <c r="N12" i="36"/>
  <c r="N13" i="36"/>
  <c r="N14" i="36"/>
  <c r="N15" i="36"/>
  <c r="F16" i="36"/>
  <c r="P9" i="36"/>
  <c r="J10" i="36"/>
  <c r="P10" i="36"/>
  <c r="J11" i="36"/>
  <c r="P11" i="36"/>
  <c r="J12" i="36"/>
  <c r="P12" i="36"/>
  <c r="J13" i="36"/>
  <c r="P13" i="36"/>
  <c r="J14" i="36"/>
  <c r="P14" i="36"/>
  <c r="J15" i="36"/>
  <c r="P15" i="36"/>
  <c r="Q9" i="36"/>
  <c r="Q10" i="36"/>
  <c r="Q11" i="36"/>
  <c r="Q12" i="36"/>
  <c r="Q13" i="36"/>
  <c r="Q14" i="36"/>
  <c r="Q15" i="36"/>
  <c r="L16" i="36" l="1"/>
  <c r="J16" i="36"/>
  <c r="P16" i="36"/>
  <c r="U16" i="36"/>
  <c r="Q16" i="36"/>
  <c r="N16" i="36"/>
</calcChain>
</file>

<file path=xl/sharedStrings.xml><?xml version="1.0" encoding="utf-8"?>
<sst xmlns="http://schemas.openxmlformats.org/spreadsheetml/2006/main" count="49" uniqueCount="35">
  <si>
    <t>SN</t>
  </si>
  <si>
    <t>Code</t>
  </si>
  <si>
    <t>Size</t>
  </si>
  <si>
    <t>Box</t>
  </si>
  <si>
    <t>SFT</t>
  </si>
  <si>
    <t>Rate</t>
  </si>
  <si>
    <t>Monthly</t>
  </si>
  <si>
    <t>Quarterly</t>
  </si>
  <si>
    <t>Broken</t>
  </si>
  <si>
    <t>Invioce</t>
  </si>
  <si>
    <t>Actual Price/SFT</t>
  </si>
  <si>
    <t>Actual Price/pcs</t>
  </si>
  <si>
    <t xml:space="preserve">Quaty </t>
  </si>
  <si>
    <t>Total</t>
  </si>
  <si>
    <t>8*12</t>
  </si>
  <si>
    <t>Akij Ceramics LTD</t>
  </si>
  <si>
    <t>766DBE</t>
  </si>
  <si>
    <t>24*24</t>
  </si>
  <si>
    <t>32*32</t>
  </si>
  <si>
    <t>777DGR</t>
  </si>
  <si>
    <t>777LGR</t>
  </si>
  <si>
    <t>777HL</t>
  </si>
  <si>
    <t>12*12</t>
  </si>
  <si>
    <t>24*48</t>
  </si>
  <si>
    <t>Offer</t>
  </si>
  <si>
    <t>3RT-30</t>
  </si>
  <si>
    <t>12PGVT-20</t>
  </si>
  <si>
    <t>12RK-701M</t>
  </si>
  <si>
    <t>12*48</t>
  </si>
  <si>
    <t>8PGVT-32</t>
  </si>
  <si>
    <t>6PGVT-CG111</t>
  </si>
  <si>
    <t>30RK-PANORA-M104STP</t>
  </si>
  <si>
    <t>Company Measurement</t>
  </si>
  <si>
    <t>Without Measurement</t>
  </si>
  <si>
    <t>Invoice No: ACR-30401                                                                              Month: Oct-26                                                                                 Invoice Date:24-10-26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</si>
</sst>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5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2" fontId="0" fillId="6" borderId="3" xfId="0" applyNumberFormat="1" applyFont="1" applyFill="1" applyBorder="1" applyAlignment="1">
      <alignment horizontal="center" vertical="center"/>
    </xf>
    <xf numFmtId="2" fontId="0" fillId="6" borderId="3" xfId="0" applyNumberFormat="1" applyFont="1" applyFill="1" applyBorder="1" applyAlignment="1">
      <alignment horizontal="center" vertical="center" wrapText="1"/>
    </xf>
    <xf numFmtId="164" fontId="0" fillId="6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0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A3" sqref="A3:A4"/>
    </sheetView>
  </sheetViews>
  <sheetFormatPr defaultRowHeight="15" x14ac:dyDescent="0.25"/>
  <cols>
    <col min="1" max="1" width="5.42578125" customWidth="1"/>
    <col min="2" max="2" width="18.85546875" style="23" customWidth="1"/>
    <col min="5" max="5" width="16.85546875" customWidth="1"/>
    <col min="8" max="8" width="15" customWidth="1"/>
    <col min="9" max="9" width="8.28515625" customWidth="1"/>
    <col min="16" max="16" width="10.42578125" customWidth="1"/>
    <col min="17" max="17" width="11.140625" customWidth="1"/>
    <col min="21" max="21" width="10.85546875" customWidth="1"/>
  </cols>
  <sheetData>
    <row r="1" spans="1:21" ht="23.25" x14ac:dyDescent="0.25">
      <c r="A1" s="14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18.75" x14ac:dyDescent="0.25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5" customHeight="1" x14ac:dyDescent="0.25">
      <c r="A3" s="11" t="s">
        <v>0</v>
      </c>
      <c r="B3" s="19" t="s">
        <v>1</v>
      </c>
      <c r="C3" s="11" t="s">
        <v>2</v>
      </c>
      <c r="D3" s="17" t="s">
        <v>3</v>
      </c>
      <c r="E3" s="9" t="s">
        <v>32</v>
      </c>
      <c r="F3" s="11" t="s">
        <v>4</v>
      </c>
      <c r="G3" s="11" t="s">
        <v>5</v>
      </c>
      <c r="H3" s="9" t="s">
        <v>33</v>
      </c>
      <c r="I3" s="11" t="s">
        <v>6</v>
      </c>
      <c r="J3" s="11"/>
      <c r="K3" s="11" t="s">
        <v>8</v>
      </c>
      <c r="L3" s="11"/>
      <c r="M3" s="12" t="s">
        <v>7</v>
      </c>
      <c r="N3" s="13"/>
      <c r="O3" s="12" t="s">
        <v>24</v>
      </c>
      <c r="P3" s="13"/>
      <c r="Q3" s="9" t="s">
        <v>9</v>
      </c>
      <c r="R3" s="9" t="s">
        <v>10</v>
      </c>
      <c r="S3" s="9" t="s">
        <v>11</v>
      </c>
      <c r="T3" s="11" t="s">
        <v>12</v>
      </c>
      <c r="U3" s="11" t="s">
        <v>13</v>
      </c>
    </row>
    <row r="4" spans="1:21" ht="15" customHeight="1" x14ac:dyDescent="0.25">
      <c r="A4" s="11"/>
      <c r="B4" s="19"/>
      <c r="C4" s="11"/>
      <c r="D4" s="18"/>
      <c r="E4" s="10"/>
      <c r="F4" s="11"/>
      <c r="G4" s="11"/>
      <c r="H4" s="10"/>
      <c r="I4" s="1" t="s">
        <v>4</v>
      </c>
      <c r="J4" s="1" t="s">
        <v>13</v>
      </c>
      <c r="K4" s="1" t="s">
        <v>4</v>
      </c>
      <c r="L4" s="1" t="s">
        <v>13</v>
      </c>
      <c r="M4" s="1" t="s">
        <v>4</v>
      </c>
      <c r="N4" s="1" t="s">
        <v>13</v>
      </c>
      <c r="O4" s="1" t="s">
        <v>4</v>
      </c>
      <c r="P4" s="1" t="s">
        <v>13</v>
      </c>
      <c r="Q4" s="10"/>
      <c r="R4" s="10"/>
      <c r="S4" s="10"/>
      <c r="T4" s="11"/>
      <c r="U4" s="11"/>
    </row>
    <row r="5" spans="1:21" x14ac:dyDescent="0.25">
      <c r="A5" s="5">
        <v>1</v>
      </c>
      <c r="B5" s="20" t="s">
        <v>20</v>
      </c>
      <c r="C5" s="5" t="s">
        <v>14</v>
      </c>
      <c r="D5" s="5">
        <v>32</v>
      </c>
      <c r="E5" s="5">
        <v>16.14</v>
      </c>
      <c r="F5" s="6">
        <f>D5*E5</f>
        <v>516.48</v>
      </c>
      <c r="G5" s="5">
        <v>39</v>
      </c>
      <c r="H5" s="6">
        <f>G5*E5/11.667</f>
        <v>53.952172795062999</v>
      </c>
      <c r="I5" s="5">
        <v>1</v>
      </c>
      <c r="J5" s="6">
        <f t="shared" ref="J5:J15" si="0">F5*I5</f>
        <v>516.48</v>
      </c>
      <c r="K5" s="6">
        <f>(G5*0.75/100)</f>
        <v>0.29249999999999998</v>
      </c>
      <c r="L5" s="6">
        <f t="shared" ref="L5:L15" si="1">F5*K5</f>
        <v>151.07040000000001</v>
      </c>
      <c r="M5" s="5">
        <v>0.9</v>
      </c>
      <c r="N5" s="6">
        <f t="shared" ref="N5:N15" si="2">F5*M5</f>
        <v>464.83200000000005</v>
      </c>
      <c r="O5" s="8">
        <v>0.3</v>
      </c>
      <c r="P5" s="6">
        <f t="shared" ref="P5:P15" si="3">F5*O5</f>
        <v>154.94399999999999</v>
      </c>
      <c r="Q5" s="6">
        <f t="shared" ref="Q5:Q15" si="4">F5*G5</f>
        <v>20142.72</v>
      </c>
      <c r="R5" s="7">
        <f t="shared" ref="R5:R15" si="5">G5-I5-K5-M5-O5</f>
        <v>36.507500000000007</v>
      </c>
      <c r="S5" s="6">
        <f t="shared" ref="S5:S8" si="6">R5*0.6456</f>
        <v>23.569242000000003</v>
      </c>
      <c r="T5" s="5">
        <f>D5*25</f>
        <v>800</v>
      </c>
      <c r="U5" s="6">
        <f>S5*T5</f>
        <v>18855.393600000003</v>
      </c>
    </row>
    <row r="6" spans="1:21" x14ac:dyDescent="0.25">
      <c r="A6" s="5">
        <v>2</v>
      </c>
      <c r="B6" s="20" t="s">
        <v>19</v>
      </c>
      <c r="C6" s="5" t="s">
        <v>14</v>
      </c>
      <c r="D6" s="5">
        <v>32</v>
      </c>
      <c r="E6" s="5">
        <v>16.14</v>
      </c>
      <c r="F6" s="6">
        <f t="shared" ref="F6:F15" si="7">D6*E6</f>
        <v>516.48</v>
      </c>
      <c r="G6" s="5">
        <v>39</v>
      </c>
      <c r="H6" s="6">
        <f t="shared" ref="H6:H15" si="8">G6*E6/11.667</f>
        <v>53.952172795062999</v>
      </c>
      <c r="I6" s="5">
        <v>1</v>
      </c>
      <c r="J6" s="6">
        <f t="shared" si="0"/>
        <v>516.48</v>
      </c>
      <c r="K6" s="6">
        <f t="shared" ref="K6:K15" si="9">(G6*0.75/100)</f>
        <v>0.29249999999999998</v>
      </c>
      <c r="L6" s="6">
        <f t="shared" si="1"/>
        <v>151.07040000000001</v>
      </c>
      <c r="M6" s="5">
        <v>0.9</v>
      </c>
      <c r="N6" s="6">
        <f t="shared" si="2"/>
        <v>464.83200000000005</v>
      </c>
      <c r="O6" s="8">
        <v>0.3</v>
      </c>
      <c r="P6" s="6">
        <f t="shared" si="3"/>
        <v>154.94399999999999</v>
      </c>
      <c r="Q6" s="6">
        <f t="shared" si="4"/>
        <v>20142.72</v>
      </c>
      <c r="R6" s="6">
        <f t="shared" si="5"/>
        <v>36.507500000000007</v>
      </c>
      <c r="S6" s="6">
        <f t="shared" si="6"/>
        <v>23.569242000000003</v>
      </c>
      <c r="T6" s="5">
        <f t="shared" ref="T6:T8" si="10">D6*25</f>
        <v>800</v>
      </c>
      <c r="U6" s="6">
        <f t="shared" ref="U6:U15" si="11">S6*T6</f>
        <v>18855.393600000003</v>
      </c>
    </row>
    <row r="7" spans="1:21" x14ac:dyDescent="0.25">
      <c r="A7" s="5">
        <v>3</v>
      </c>
      <c r="B7" s="20" t="s">
        <v>21</v>
      </c>
      <c r="C7" s="5" t="s">
        <v>14</v>
      </c>
      <c r="D7" s="5">
        <v>8</v>
      </c>
      <c r="E7" s="5">
        <v>16.14</v>
      </c>
      <c r="F7" s="6">
        <f t="shared" si="7"/>
        <v>129.12</v>
      </c>
      <c r="G7" s="5">
        <v>39</v>
      </c>
      <c r="H7" s="6">
        <f t="shared" si="8"/>
        <v>53.952172795062999</v>
      </c>
      <c r="I7" s="5">
        <v>1</v>
      </c>
      <c r="J7" s="6">
        <f t="shared" si="0"/>
        <v>129.12</v>
      </c>
      <c r="K7" s="6">
        <f t="shared" si="9"/>
        <v>0.29249999999999998</v>
      </c>
      <c r="L7" s="6">
        <f t="shared" si="1"/>
        <v>37.767600000000002</v>
      </c>
      <c r="M7" s="5">
        <v>0.9</v>
      </c>
      <c r="N7" s="6">
        <f t="shared" si="2"/>
        <v>116.20800000000001</v>
      </c>
      <c r="O7" s="8">
        <v>0.3</v>
      </c>
      <c r="P7" s="6">
        <f t="shared" si="3"/>
        <v>38.735999999999997</v>
      </c>
      <c r="Q7" s="6">
        <f t="shared" si="4"/>
        <v>5035.68</v>
      </c>
      <c r="R7" s="6">
        <f t="shared" si="5"/>
        <v>36.507500000000007</v>
      </c>
      <c r="S7" s="6">
        <f t="shared" si="6"/>
        <v>23.569242000000003</v>
      </c>
      <c r="T7" s="5">
        <f t="shared" si="10"/>
        <v>200</v>
      </c>
      <c r="U7" s="6">
        <f t="shared" si="11"/>
        <v>4713.8484000000008</v>
      </c>
    </row>
    <row r="8" spans="1:21" x14ac:dyDescent="0.25">
      <c r="A8" s="5">
        <v>4</v>
      </c>
      <c r="B8" s="20" t="s">
        <v>16</v>
      </c>
      <c r="C8" s="5" t="s">
        <v>14</v>
      </c>
      <c r="D8" s="5">
        <v>32</v>
      </c>
      <c r="E8" s="5">
        <v>16.14</v>
      </c>
      <c r="F8" s="6">
        <f t="shared" si="7"/>
        <v>516.48</v>
      </c>
      <c r="G8" s="5">
        <v>39</v>
      </c>
      <c r="H8" s="6">
        <f t="shared" si="8"/>
        <v>53.952172795062999</v>
      </c>
      <c r="I8" s="5">
        <v>1</v>
      </c>
      <c r="J8" s="6">
        <f t="shared" si="0"/>
        <v>516.48</v>
      </c>
      <c r="K8" s="6">
        <f t="shared" si="9"/>
        <v>0.29249999999999998</v>
      </c>
      <c r="L8" s="6">
        <f t="shared" si="1"/>
        <v>151.07040000000001</v>
      </c>
      <c r="M8" s="5">
        <v>0.9</v>
      </c>
      <c r="N8" s="6">
        <f t="shared" si="2"/>
        <v>464.83200000000005</v>
      </c>
      <c r="O8" s="8">
        <v>0.3</v>
      </c>
      <c r="P8" s="6">
        <f t="shared" si="3"/>
        <v>154.94399999999999</v>
      </c>
      <c r="Q8" s="6">
        <f t="shared" si="4"/>
        <v>20142.72</v>
      </c>
      <c r="R8" s="6">
        <f t="shared" si="5"/>
        <v>36.507500000000007</v>
      </c>
      <c r="S8" s="6">
        <f t="shared" si="6"/>
        <v>23.569242000000003</v>
      </c>
      <c r="T8" s="5">
        <f t="shared" si="10"/>
        <v>800</v>
      </c>
      <c r="U8" s="6">
        <f t="shared" si="11"/>
        <v>18855.393600000003</v>
      </c>
    </row>
    <row r="9" spans="1:21" x14ac:dyDescent="0.25">
      <c r="A9" s="5">
        <v>5</v>
      </c>
      <c r="B9" s="20" t="s">
        <v>30</v>
      </c>
      <c r="C9" s="5" t="s">
        <v>17</v>
      </c>
      <c r="D9" s="5">
        <v>112</v>
      </c>
      <c r="E9" s="5">
        <v>15.4945</v>
      </c>
      <c r="F9" s="6">
        <f t="shared" si="7"/>
        <v>1735.384</v>
      </c>
      <c r="G9" s="5">
        <v>103</v>
      </c>
      <c r="H9" s="6">
        <f t="shared" si="8"/>
        <v>136.7903917030942</v>
      </c>
      <c r="I9" s="5">
        <v>1</v>
      </c>
      <c r="J9" s="6">
        <f t="shared" si="0"/>
        <v>1735.384</v>
      </c>
      <c r="K9" s="6">
        <f t="shared" si="9"/>
        <v>0.77249999999999996</v>
      </c>
      <c r="L9" s="6">
        <f t="shared" si="1"/>
        <v>1340.5841399999999</v>
      </c>
      <c r="M9" s="5">
        <v>0.9</v>
      </c>
      <c r="N9" s="6">
        <f t="shared" si="2"/>
        <v>1561.8456000000001</v>
      </c>
      <c r="O9" s="8">
        <v>4.0999999999999996</v>
      </c>
      <c r="P9" s="6">
        <f t="shared" si="3"/>
        <v>7115.0743999999995</v>
      </c>
      <c r="Q9" s="6">
        <f t="shared" si="4"/>
        <v>178744.552</v>
      </c>
      <c r="R9" s="6">
        <f t="shared" si="5"/>
        <v>96.227500000000006</v>
      </c>
      <c r="S9" s="6">
        <f>R9*3.87</f>
        <v>372.40042500000004</v>
      </c>
      <c r="T9" s="5">
        <f>D9*4</f>
        <v>448</v>
      </c>
      <c r="U9" s="6">
        <f t="shared" si="11"/>
        <v>166835.39040000003</v>
      </c>
    </row>
    <row r="10" spans="1:21" x14ac:dyDescent="0.25">
      <c r="A10" s="5">
        <v>6</v>
      </c>
      <c r="B10" s="20" t="s">
        <v>27</v>
      </c>
      <c r="C10" s="5" t="s">
        <v>23</v>
      </c>
      <c r="D10" s="5">
        <v>35</v>
      </c>
      <c r="E10" s="5">
        <v>15.4945</v>
      </c>
      <c r="F10" s="6">
        <f t="shared" si="7"/>
        <v>542.3075</v>
      </c>
      <c r="G10" s="5">
        <v>195</v>
      </c>
      <c r="H10" s="6">
        <f t="shared" si="8"/>
        <v>258.97210079712011</v>
      </c>
      <c r="I10" s="5">
        <v>5</v>
      </c>
      <c r="J10" s="6">
        <f t="shared" si="0"/>
        <v>2711.5374999999999</v>
      </c>
      <c r="K10" s="6">
        <f t="shared" si="9"/>
        <v>1.4624999999999999</v>
      </c>
      <c r="L10" s="6">
        <f t="shared" si="1"/>
        <v>793.12471874999994</v>
      </c>
      <c r="M10" s="5">
        <v>0.9</v>
      </c>
      <c r="N10" s="6">
        <f t="shared" si="2"/>
        <v>488.07675</v>
      </c>
      <c r="O10" s="8">
        <v>3.27</v>
      </c>
      <c r="P10" s="6">
        <f t="shared" si="3"/>
        <v>1773.345525</v>
      </c>
      <c r="Q10" s="6">
        <f t="shared" si="4"/>
        <v>105749.96249999999</v>
      </c>
      <c r="R10" s="6">
        <f t="shared" si="5"/>
        <v>184.36749999999998</v>
      </c>
      <c r="S10" s="6">
        <f t="shared" ref="S10:S12" si="12">R10*7.747</f>
        <v>1428.2950224999997</v>
      </c>
      <c r="T10" s="5">
        <f>D10*2</f>
        <v>70</v>
      </c>
      <c r="U10" s="6">
        <f t="shared" si="11"/>
        <v>99980.651574999982</v>
      </c>
    </row>
    <row r="11" spans="1:21" x14ac:dyDescent="0.25">
      <c r="A11" s="5">
        <v>7</v>
      </c>
      <c r="B11" s="20" t="s">
        <v>27</v>
      </c>
      <c r="C11" s="5" t="s">
        <v>23</v>
      </c>
      <c r="D11" s="5">
        <v>20</v>
      </c>
      <c r="E11" s="5">
        <v>15.4945</v>
      </c>
      <c r="F11" s="6">
        <f t="shared" si="7"/>
        <v>309.89</v>
      </c>
      <c r="G11" s="5">
        <v>195</v>
      </c>
      <c r="H11" s="6">
        <f t="shared" si="8"/>
        <v>258.97210079712011</v>
      </c>
      <c r="I11" s="5">
        <v>5</v>
      </c>
      <c r="J11" s="6">
        <f t="shared" si="0"/>
        <v>1549.4499999999998</v>
      </c>
      <c r="K11" s="6">
        <f t="shared" si="9"/>
        <v>1.4624999999999999</v>
      </c>
      <c r="L11" s="6">
        <f t="shared" si="1"/>
        <v>453.21412499999997</v>
      </c>
      <c r="M11" s="5">
        <v>0.9</v>
      </c>
      <c r="N11" s="6">
        <f t="shared" si="2"/>
        <v>278.90100000000001</v>
      </c>
      <c r="O11" s="8">
        <v>3.27</v>
      </c>
      <c r="P11" s="6">
        <f t="shared" si="3"/>
        <v>1013.3403</v>
      </c>
      <c r="Q11" s="6">
        <f t="shared" si="4"/>
        <v>60428.549999999996</v>
      </c>
      <c r="R11" s="6">
        <f t="shared" si="5"/>
        <v>184.36749999999998</v>
      </c>
      <c r="S11" s="6">
        <f t="shared" si="12"/>
        <v>1428.2950224999997</v>
      </c>
      <c r="T11" s="5">
        <f>D11*2</f>
        <v>40</v>
      </c>
      <c r="U11" s="6">
        <f t="shared" si="11"/>
        <v>57131.800899999987</v>
      </c>
    </row>
    <row r="12" spans="1:21" x14ac:dyDescent="0.25">
      <c r="A12" s="5">
        <v>8</v>
      </c>
      <c r="B12" s="20" t="s">
        <v>26</v>
      </c>
      <c r="C12" s="5" t="s">
        <v>23</v>
      </c>
      <c r="D12" s="5">
        <v>2</v>
      </c>
      <c r="E12" s="5">
        <v>15.4945</v>
      </c>
      <c r="F12" s="6">
        <f t="shared" si="7"/>
        <v>30.989000000000001</v>
      </c>
      <c r="G12" s="5">
        <v>190</v>
      </c>
      <c r="H12" s="6">
        <f t="shared" si="8"/>
        <v>252.33179052027086</v>
      </c>
      <c r="I12" s="5">
        <v>5</v>
      </c>
      <c r="J12" s="6">
        <f t="shared" si="0"/>
        <v>154.94499999999999</v>
      </c>
      <c r="K12" s="6">
        <f t="shared" si="9"/>
        <v>1.425</v>
      </c>
      <c r="L12" s="6">
        <f t="shared" si="1"/>
        <v>44.159325000000003</v>
      </c>
      <c r="M12" s="5">
        <v>0.9</v>
      </c>
      <c r="N12" s="6">
        <f t="shared" si="2"/>
        <v>27.8901</v>
      </c>
      <c r="O12" s="8">
        <v>3.27</v>
      </c>
      <c r="P12" s="6">
        <f t="shared" si="3"/>
        <v>101.33403</v>
      </c>
      <c r="Q12" s="6">
        <f t="shared" si="4"/>
        <v>5887.91</v>
      </c>
      <c r="R12" s="6">
        <f t="shared" si="5"/>
        <v>179.40499999999997</v>
      </c>
      <c r="S12" s="6">
        <f t="shared" si="12"/>
        <v>1389.8505349999998</v>
      </c>
      <c r="T12" s="5">
        <f>D12*2</f>
        <v>4</v>
      </c>
      <c r="U12" s="6">
        <f t="shared" si="11"/>
        <v>5559.4021399999992</v>
      </c>
    </row>
    <row r="13" spans="1:21" x14ac:dyDescent="0.25">
      <c r="A13" s="5">
        <v>9</v>
      </c>
      <c r="B13" s="20" t="s">
        <v>29</v>
      </c>
      <c r="C13" s="5" t="s">
        <v>18</v>
      </c>
      <c r="D13" s="5">
        <v>2</v>
      </c>
      <c r="E13" s="5">
        <v>13.7728</v>
      </c>
      <c r="F13" s="6">
        <f t="shared" si="7"/>
        <v>27.5456</v>
      </c>
      <c r="G13" s="5">
        <v>130</v>
      </c>
      <c r="H13" s="6">
        <f t="shared" si="8"/>
        <v>153.46395817262365</v>
      </c>
      <c r="I13" s="5">
        <v>1</v>
      </c>
      <c r="J13" s="6">
        <f t="shared" si="0"/>
        <v>27.5456</v>
      </c>
      <c r="K13" s="6">
        <f t="shared" si="9"/>
        <v>0.97499999999999998</v>
      </c>
      <c r="L13" s="6">
        <f t="shared" si="1"/>
        <v>26.856960000000001</v>
      </c>
      <c r="M13" s="5">
        <v>0.9</v>
      </c>
      <c r="N13" s="6">
        <f t="shared" si="2"/>
        <v>24.791040000000002</v>
      </c>
      <c r="O13" s="8">
        <v>3.27</v>
      </c>
      <c r="P13" s="6">
        <f t="shared" si="3"/>
        <v>90.074112</v>
      </c>
      <c r="Q13" s="6">
        <f t="shared" si="4"/>
        <v>3580.9279999999999</v>
      </c>
      <c r="R13" s="6">
        <f t="shared" si="5"/>
        <v>123.855</v>
      </c>
      <c r="S13" s="6">
        <f>R13*6.885</f>
        <v>852.74167499999999</v>
      </c>
      <c r="T13" s="5">
        <f>D13*2</f>
        <v>4</v>
      </c>
      <c r="U13" s="6">
        <f t="shared" si="11"/>
        <v>3410.9666999999999</v>
      </c>
    </row>
    <row r="14" spans="1:21" x14ac:dyDescent="0.25">
      <c r="A14" s="5">
        <v>10</v>
      </c>
      <c r="B14" s="20" t="s">
        <v>25</v>
      </c>
      <c r="C14" s="5" t="s">
        <v>22</v>
      </c>
      <c r="D14" s="5">
        <v>4</v>
      </c>
      <c r="E14" s="5">
        <v>12.589</v>
      </c>
      <c r="F14" s="6">
        <f t="shared" si="7"/>
        <v>50.356000000000002</v>
      </c>
      <c r="G14" s="5">
        <v>73</v>
      </c>
      <c r="H14" s="6">
        <f t="shared" si="8"/>
        <v>78.76892088797463</v>
      </c>
      <c r="I14" s="5">
        <v>1</v>
      </c>
      <c r="J14" s="6">
        <f t="shared" si="0"/>
        <v>50.356000000000002</v>
      </c>
      <c r="K14" s="6">
        <f t="shared" si="9"/>
        <v>0.54749999999999999</v>
      </c>
      <c r="L14" s="6">
        <f t="shared" si="1"/>
        <v>27.56991</v>
      </c>
      <c r="M14" s="5">
        <v>0.9</v>
      </c>
      <c r="N14" s="6">
        <f t="shared" si="2"/>
        <v>45.320399999999999</v>
      </c>
      <c r="O14" s="8">
        <v>2.2999999999999998</v>
      </c>
      <c r="P14" s="6">
        <f t="shared" si="3"/>
        <v>115.8188</v>
      </c>
      <c r="Q14" s="6">
        <f t="shared" si="4"/>
        <v>3675.9880000000003</v>
      </c>
      <c r="R14" s="6">
        <f t="shared" si="5"/>
        <v>68.252499999999998</v>
      </c>
      <c r="S14" s="6">
        <f>R14*0.968</f>
        <v>66.068419999999989</v>
      </c>
      <c r="T14" s="5">
        <f>D14*13</f>
        <v>52</v>
      </c>
      <c r="U14" s="6">
        <f t="shared" si="11"/>
        <v>3435.5578399999995</v>
      </c>
    </row>
    <row r="15" spans="1:21" x14ac:dyDescent="0.25">
      <c r="A15" s="5">
        <v>11</v>
      </c>
      <c r="B15" s="21" t="s">
        <v>31</v>
      </c>
      <c r="C15" s="5" t="s">
        <v>28</v>
      </c>
      <c r="D15" s="5">
        <v>25</v>
      </c>
      <c r="E15" s="5">
        <v>15.4945</v>
      </c>
      <c r="F15" s="6">
        <f t="shared" si="7"/>
        <v>387.36250000000001</v>
      </c>
      <c r="G15" s="5">
        <v>200</v>
      </c>
      <c r="H15" s="6">
        <f t="shared" si="8"/>
        <v>265.61241107396933</v>
      </c>
      <c r="I15" s="5">
        <v>1</v>
      </c>
      <c r="J15" s="6">
        <f t="shared" si="0"/>
        <v>387.36250000000001</v>
      </c>
      <c r="K15" s="6">
        <f t="shared" si="9"/>
        <v>1.5</v>
      </c>
      <c r="L15" s="6">
        <f t="shared" si="1"/>
        <v>581.04375000000005</v>
      </c>
      <c r="M15" s="5">
        <v>0.9</v>
      </c>
      <c r="N15" s="6">
        <f t="shared" si="2"/>
        <v>348.62625000000003</v>
      </c>
      <c r="O15" s="8">
        <v>3.27</v>
      </c>
      <c r="P15" s="6">
        <f t="shared" si="3"/>
        <v>1266.675375</v>
      </c>
      <c r="Q15" s="6">
        <f t="shared" si="4"/>
        <v>77472.5</v>
      </c>
      <c r="R15" s="6">
        <f t="shared" si="5"/>
        <v>193.32999999999998</v>
      </c>
      <c r="S15" s="6">
        <f>R15*3.8735</f>
        <v>748.86375499999997</v>
      </c>
      <c r="T15" s="5">
        <f>D15*4</f>
        <v>100</v>
      </c>
      <c r="U15" s="6">
        <f t="shared" si="11"/>
        <v>74886.375499999995</v>
      </c>
    </row>
    <row r="16" spans="1:21" ht="15.75" x14ac:dyDescent="0.25">
      <c r="A16" s="4"/>
      <c r="B16" s="22"/>
      <c r="C16" s="4"/>
      <c r="D16" s="2">
        <f>SUM(D5:D15)</f>
        <v>304</v>
      </c>
      <c r="E16" s="2"/>
      <c r="F16" s="3">
        <f>SUM(F5:F15)</f>
        <v>4762.3945999999996</v>
      </c>
      <c r="G16" s="2"/>
      <c r="H16" s="2"/>
      <c r="I16" s="2"/>
      <c r="J16" s="3">
        <f>SUM(J5:J15)</f>
        <v>8295.1405999999988</v>
      </c>
      <c r="K16" s="2"/>
      <c r="L16" s="3">
        <f>SUM(L5:L15)</f>
        <v>3757.5317287500002</v>
      </c>
      <c r="M16" s="2"/>
      <c r="N16" s="3">
        <f>SUM(N5:N15)</f>
        <v>4286.1551400000008</v>
      </c>
      <c r="O16" s="2"/>
      <c r="P16" s="3">
        <f>SUM(P5:P15)</f>
        <v>11979.230541999999</v>
      </c>
      <c r="Q16" s="3">
        <f>SUM(Q5:Q15)</f>
        <v>501004.23050000001</v>
      </c>
      <c r="R16" s="2"/>
      <c r="S16" s="2"/>
      <c r="T16" s="2">
        <f>SUM(T5:T15)</f>
        <v>3318</v>
      </c>
      <c r="U16" s="3">
        <f>SUM(U5:U15)</f>
        <v>472520.17425500008</v>
      </c>
    </row>
  </sheetData>
  <mergeCells count="19">
    <mergeCell ref="M3:N3"/>
    <mergeCell ref="O3:P3"/>
    <mergeCell ref="Q3:Q4"/>
    <mergeCell ref="R3:R4"/>
    <mergeCell ref="S3:S4"/>
    <mergeCell ref="T3:T4"/>
    <mergeCell ref="U3:U4"/>
    <mergeCell ref="A1:U1"/>
    <mergeCell ref="A2:U2"/>
    <mergeCell ref="A3:A4"/>
    <mergeCell ref="B3:B4"/>
    <mergeCell ref="C3:C4"/>
    <mergeCell ref="D3:D4"/>
    <mergeCell ref="E3:E4"/>
    <mergeCell ref="F3:F4"/>
    <mergeCell ref="G3:G4"/>
    <mergeCell ref="H3:H4"/>
    <mergeCell ref="I3:J3"/>
    <mergeCell ref="K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 Bitan</dc:creator>
  <cp:lastModifiedBy>Lutfor Rahman</cp:lastModifiedBy>
  <dcterms:created xsi:type="dcterms:W3CDTF">2024-01-10T11:36:52Z</dcterms:created>
  <dcterms:modified xsi:type="dcterms:W3CDTF">2026-10-30T12:31:56Z</dcterms:modified>
</cp:coreProperties>
</file>